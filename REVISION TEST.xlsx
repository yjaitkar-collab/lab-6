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b6c61bcb3f1c360/Desktop/Excel/"/>
    </mc:Choice>
  </mc:AlternateContent>
  <xr:revisionPtr revIDLastSave="131" documentId="8_{3D3E3CA3-0DAA-4ACF-8329-CB5FCDC085F8}" xr6:coauthVersionLast="47" xr6:coauthVersionMax="47" xr10:uidLastSave="{7575E09F-51B4-44BB-B110-33E75AD32986}"/>
  <bookViews>
    <workbookView xWindow="-108" yWindow="-108" windowWidth="23256" windowHeight="13896" activeTab="1" xr2:uid="{3A08CF8E-4E5D-45DF-A440-354C675C216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2" l="1"/>
  <c r="M3" i="2"/>
  <c r="M2" i="2"/>
  <c r="O2" i="2"/>
  <c r="N2" i="2"/>
  <c r="K2" i="2"/>
  <c r="J2" i="2"/>
  <c r="I2" i="2"/>
  <c r="H2" i="2"/>
  <c r="G2" i="2"/>
  <c r="F2" i="2"/>
  <c r="L3" i="1"/>
  <c r="L2" i="1"/>
  <c r="K2" i="1"/>
  <c r="J2" i="1"/>
  <c r="I2" i="1"/>
  <c r="H2" i="1"/>
  <c r="G2" i="1"/>
  <c r="C12" i="1"/>
</calcChain>
</file>

<file path=xl/sharedStrings.xml><?xml version="1.0" encoding="utf-8"?>
<sst xmlns="http://schemas.openxmlformats.org/spreadsheetml/2006/main" count="92" uniqueCount="57">
  <si>
    <t>Employee</t>
  </si>
  <si>
    <t>Department</t>
  </si>
  <si>
    <t>Q1 Sales ($K)</t>
  </si>
  <si>
    <t>Region</t>
  </si>
  <si>
    <t>Performance</t>
  </si>
  <si>
    <t>John Smith</t>
  </si>
  <si>
    <t>Sales</t>
  </si>
  <si>
    <t>North</t>
  </si>
  <si>
    <t>Good</t>
  </si>
  <si>
    <t>Sarah Johnson</t>
  </si>
  <si>
    <t>East</t>
  </si>
  <si>
    <t>Excellent</t>
  </si>
  <si>
    <t>Mike Davis</t>
  </si>
  <si>
    <t>Marketing</t>
  </si>
  <si>
    <t>Average</t>
  </si>
  <si>
    <t>Emily Wilson</t>
  </si>
  <si>
    <t>West</t>
  </si>
  <si>
    <t>Robert Brown</t>
  </si>
  <si>
    <t>IT</t>
  </si>
  <si>
    <t>South</t>
  </si>
  <si>
    <t>Lisa Anderson</t>
  </si>
  <si>
    <t>James Taylor</t>
  </si>
  <si>
    <t>Jennifer Lee</t>
  </si>
  <si>
    <t>David Martin</t>
  </si>
  <si>
    <t>Maria Garcia</t>
  </si>
  <si>
    <t>Q2</t>
  </si>
  <si>
    <t>Q3</t>
  </si>
  <si>
    <t>Q4</t>
  </si>
  <si>
    <t>Q5</t>
  </si>
  <si>
    <t>Q6</t>
  </si>
  <si>
    <t>Q7</t>
  </si>
  <si>
    <t>Q1</t>
  </si>
  <si>
    <t>Employee ID</t>
  </si>
  <si>
    <t>Name</t>
  </si>
  <si>
    <t>Salary</t>
  </si>
  <si>
    <t>Start Date</t>
  </si>
  <si>
    <t>Product ID</t>
  </si>
  <si>
    <t>Product Name</t>
  </si>
  <si>
    <t>Category</t>
  </si>
  <si>
    <t>Price</t>
  </si>
  <si>
    <t>Alice Johnson</t>
  </si>
  <si>
    <t>Laptop</t>
  </si>
  <si>
    <t>Electronics</t>
  </si>
  <si>
    <t>Bob Smith</t>
  </si>
  <si>
    <t>Mouse</t>
  </si>
  <si>
    <t>Carol White</t>
  </si>
  <si>
    <t>Desk Chair</t>
  </si>
  <si>
    <t>Furniture</t>
  </si>
  <si>
    <t>David Brown</t>
  </si>
  <si>
    <t>Monitor</t>
  </si>
  <si>
    <t>Emma Davis</t>
  </si>
  <si>
    <t>HR</t>
  </si>
  <si>
    <t>Order ID</t>
  </si>
  <si>
    <t>Quantity</t>
  </si>
  <si>
    <t>Q8</t>
  </si>
  <si>
    <t>Q9</t>
  </si>
  <si>
    <t>Q10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</si>
</sst>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left"/>
    </xf>
    <xf numFmtId="0" fontId="0" fillId="3" borderId="0" xfId="0" applyFill="1"/>
    <xf numFmtId="14" fontId="0" fillId="0" borderId="0" xfId="0" applyNumberForma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1" xfId="0" applyBorder="1"/>
    <xf numFmtId="0" fontId="0" fillId="6" borderId="1" xfId="0" applyFill="1" applyBorder="1"/>
    <xf numFmtId="0" fontId="0" fillId="0" borderId="1" xfId="0" applyBorder="1" applyAlignment="1">
      <alignment horizontal="center"/>
    </xf>
    <xf numFmtId="0" fontId="0" fillId="0" borderId="0" xfId="0" applyBorder="1"/>
    <xf numFmtId="0" fontId="0" fillId="6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51B587-9D74-46BC-AB45-1C0E28CC2868}" name="Table1" displayName="Table1" ref="A1:E12" totalsRowCount="1">
  <autoFilter ref="A1:E11" xr:uid="{3351B587-9D74-46BC-AB45-1C0E28CC2868}"/>
  <tableColumns count="5">
    <tableColumn id="1" xr3:uid="{671B6AF5-765A-481F-8EFD-FB36BAF09613}" name="Employee"/>
    <tableColumn id="2" xr3:uid="{1EE42F91-2738-4FD4-BE1C-863A292A196A}" name="Department"/>
    <tableColumn id="3" xr3:uid="{805B1940-61C0-455B-815A-A4BD4839D196}" name="Q1 Sales ($K)" totalsRowFunction="custom">
      <totalsRowFormula>SUM(Table1[Q1 Sales ($K)])</totalsRowFormula>
    </tableColumn>
    <tableColumn id="4" xr3:uid="{5FCA56C2-AD8F-44A0-BB8C-11A2A21A90BE}" name="Region"/>
    <tableColumn id="5" xr3:uid="{CE096B12-E35A-4DAB-98A3-8E38CA984E52}" name="Performa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04558-3A2E-4344-9BF1-F9C69FD83AD4}">
  <dimension ref="A1:L12"/>
  <sheetViews>
    <sheetView zoomScale="155" workbookViewId="0">
      <selection activeCell="I6" sqref="I6"/>
    </sheetView>
  </sheetViews>
  <sheetFormatPr defaultRowHeight="14.4" x14ac:dyDescent="0.3"/>
  <cols>
    <col min="1" max="1" width="12.5546875" bestFit="1" customWidth="1"/>
    <col min="2" max="2" width="12.44140625" customWidth="1"/>
    <col min="3" max="3" width="14.21875" bestFit="1" customWidth="1"/>
    <col min="5" max="5" width="13.332031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/>
      <c r="G1" s="2" t="s">
        <v>31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</row>
    <row r="2" spans="1:12" x14ac:dyDescent="0.3">
      <c r="A2" t="s">
        <v>5</v>
      </c>
      <c r="B2" t="s">
        <v>6</v>
      </c>
      <c r="C2">
        <v>45</v>
      </c>
      <c r="D2" t="s">
        <v>7</v>
      </c>
      <c r="E2" t="s">
        <v>8</v>
      </c>
      <c r="F2" s="1"/>
      <c r="G2" s="3">
        <f>SUMIF(Table1[[#Headers],[#Data],[Department]],Table1[[#This Row],[Department]],Table1[[#Headers],[#Data],[Q1 Sales ($K)]])</f>
        <v>300</v>
      </c>
      <c r="H2" s="3">
        <f>COUNTIF(Table1[[#Headers],[#Data]],"EXCELLENT")</f>
        <v>4</v>
      </c>
      <c r="I2" s="3">
        <f>AVERAGEIF(Table1[[#Headers],[#Data],[Region]],D3,Table1[[#Headers],[#Data],[Q1 Sales ($K)]])</f>
        <v>53.5</v>
      </c>
      <c r="J2" s="3">
        <f ca="1">SUMIF(Table1[[#Headers],[#Data],[Department]],B4,Table1[Q1 Sales ($K)])</f>
        <v>97</v>
      </c>
      <c r="K2" s="3">
        <f>COUNTIFS(Table1[[#Headers],[#Data],[Department]],"SALES",Table1[[#Headers],[#Data],[Q1 Sales ($K)]],"&gt;50")</f>
        <v>3</v>
      </c>
      <c r="L2" s="4">
        <f>AVERAGE(Table1[[#Headers],[#Data],[Q1 Sales ($K)]])</f>
        <v>39.6</v>
      </c>
    </row>
    <row r="3" spans="1:12" x14ac:dyDescent="0.3">
      <c r="A3" t="s">
        <v>9</v>
      </c>
      <c r="B3" t="s">
        <v>6</v>
      </c>
      <c r="C3">
        <v>52</v>
      </c>
      <c r="D3" t="s">
        <v>10</v>
      </c>
      <c r="E3" t="s">
        <v>11</v>
      </c>
      <c r="G3" s="4"/>
      <c r="H3" s="4"/>
      <c r="I3" s="4"/>
      <c r="J3" s="4"/>
      <c r="K3" s="4"/>
      <c r="L3" s="4" t="e">
        <f ca="1">AVERAGEIF(Table1[[#Headers],[#Data],[Employee]],L2,Table1[Q1 Sales ($K)])</f>
        <v>#DIV/0!</v>
      </c>
    </row>
    <row r="4" spans="1:12" x14ac:dyDescent="0.3">
      <c r="A4" t="s">
        <v>12</v>
      </c>
      <c r="B4" t="s">
        <v>13</v>
      </c>
      <c r="C4">
        <v>28</v>
      </c>
      <c r="D4" t="s">
        <v>7</v>
      </c>
      <c r="E4" t="s">
        <v>14</v>
      </c>
    </row>
    <row r="5" spans="1:12" x14ac:dyDescent="0.3">
      <c r="A5" t="s">
        <v>15</v>
      </c>
      <c r="B5" t="s">
        <v>6</v>
      </c>
      <c r="C5">
        <v>48</v>
      </c>
      <c r="D5" t="s">
        <v>16</v>
      </c>
      <c r="E5" t="s">
        <v>8</v>
      </c>
    </row>
    <row r="6" spans="1:12" x14ac:dyDescent="0.3">
      <c r="A6" t="s">
        <v>17</v>
      </c>
      <c r="B6" t="s">
        <v>18</v>
      </c>
      <c r="C6">
        <v>15</v>
      </c>
      <c r="D6" t="s">
        <v>19</v>
      </c>
      <c r="E6" t="s">
        <v>14</v>
      </c>
    </row>
    <row r="7" spans="1:12" x14ac:dyDescent="0.3">
      <c r="A7" t="s">
        <v>20</v>
      </c>
      <c r="B7" t="s">
        <v>6</v>
      </c>
      <c r="C7">
        <v>55</v>
      </c>
      <c r="D7" t="s">
        <v>10</v>
      </c>
      <c r="E7" t="s">
        <v>11</v>
      </c>
    </row>
    <row r="8" spans="1:12" x14ac:dyDescent="0.3">
      <c r="A8" t="s">
        <v>21</v>
      </c>
      <c r="B8" t="s">
        <v>13</v>
      </c>
      <c r="C8">
        <v>35</v>
      </c>
      <c r="D8" t="s">
        <v>16</v>
      </c>
      <c r="E8" t="s">
        <v>8</v>
      </c>
    </row>
    <row r="9" spans="1:12" x14ac:dyDescent="0.3">
      <c r="A9" t="s">
        <v>22</v>
      </c>
      <c r="B9" t="s">
        <v>6</v>
      </c>
      <c r="C9">
        <v>49</v>
      </c>
      <c r="D9" t="s">
        <v>7</v>
      </c>
      <c r="E9" t="s">
        <v>11</v>
      </c>
    </row>
    <row r="10" spans="1:12" x14ac:dyDescent="0.3">
      <c r="A10" t="s">
        <v>23</v>
      </c>
      <c r="B10" t="s">
        <v>18</v>
      </c>
      <c r="C10">
        <v>18</v>
      </c>
      <c r="D10" t="s">
        <v>19</v>
      </c>
      <c r="E10" t="s">
        <v>14</v>
      </c>
    </row>
    <row r="11" spans="1:12" x14ac:dyDescent="0.3">
      <c r="A11" t="s">
        <v>24</v>
      </c>
      <c r="B11" t="s">
        <v>6</v>
      </c>
      <c r="C11">
        <v>51</v>
      </c>
      <c r="D11" t="s">
        <v>16</v>
      </c>
      <c r="E11" t="s">
        <v>11</v>
      </c>
    </row>
    <row r="12" spans="1:12" x14ac:dyDescent="0.3">
      <c r="C12">
        <f>SUM(Table1[Q1 Sales ($K)])</f>
        <v>396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76491-D060-4F64-AC87-1040EB8DA5B5}">
  <dimension ref="A1:P18"/>
  <sheetViews>
    <sheetView tabSelected="1" workbookViewId="0">
      <selection activeCell="L2" sqref="L2"/>
    </sheetView>
  </sheetViews>
  <sheetFormatPr defaultRowHeight="14.4" x14ac:dyDescent="0.3"/>
  <cols>
    <col min="1" max="1" width="10.77734375" bestFit="1" customWidth="1"/>
    <col min="2" max="2" width="11.88671875" bestFit="1" customWidth="1"/>
    <col min="3" max="3" width="10.5546875" bestFit="1" customWidth="1"/>
    <col min="5" max="6" width="10.33203125" bestFit="1" customWidth="1"/>
    <col min="7" max="7" width="9.33203125" bestFit="1" customWidth="1"/>
    <col min="8" max="8" width="12.5546875" bestFit="1" customWidth="1"/>
    <col min="9" max="10" width="10" bestFit="1" customWidth="1"/>
    <col min="14" max="14" width="12.5546875" bestFit="1" customWidth="1"/>
    <col min="15" max="15" width="10" bestFit="1" customWidth="1"/>
  </cols>
  <sheetData>
    <row r="1" spans="1:16" x14ac:dyDescent="0.3">
      <c r="A1" s="6" t="s">
        <v>32</v>
      </c>
      <c r="B1" s="6" t="s">
        <v>33</v>
      </c>
      <c r="C1" s="6" t="s">
        <v>1</v>
      </c>
      <c r="D1" s="6" t="s">
        <v>34</v>
      </c>
      <c r="E1" s="6" t="s">
        <v>35</v>
      </c>
      <c r="F1" s="9" t="s">
        <v>31</v>
      </c>
      <c r="G1" s="10" t="s">
        <v>25</v>
      </c>
      <c r="H1" s="10" t="s">
        <v>26</v>
      </c>
      <c r="I1" s="10" t="s">
        <v>27</v>
      </c>
      <c r="J1" s="10" t="s">
        <v>28</v>
      </c>
      <c r="K1" s="10" t="s">
        <v>29</v>
      </c>
      <c r="L1" s="10" t="s">
        <v>30</v>
      </c>
      <c r="M1" s="10" t="s">
        <v>54</v>
      </c>
      <c r="N1" s="10" t="s">
        <v>55</v>
      </c>
      <c r="O1" s="10" t="s">
        <v>56</v>
      </c>
      <c r="P1" s="8"/>
    </row>
    <row r="2" spans="1:16" x14ac:dyDescent="0.3">
      <c r="A2">
        <v>101</v>
      </c>
      <c r="B2" t="s">
        <v>40</v>
      </c>
      <c r="C2" t="s">
        <v>6</v>
      </c>
      <c r="D2">
        <v>65000</v>
      </c>
      <c r="E2" s="5">
        <v>43845</v>
      </c>
      <c r="F2" s="9" t="str">
        <f>VLOOKUP(A4,A1:E6,2,)</f>
        <v>Carol White</v>
      </c>
      <c r="G2" s="9" t="str">
        <f>VLOOKUP(A3,A1:E6,3,FALSE)</f>
        <v>Marketing</v>
      </c>
      <c r="H2" s="11">
        <f>VLOOKUP(A6,A1:E6,4,FALSE)</f>
        <v>58000</v>
      </c>
      <c r="I2" s="11">
        <f>INDEX(I13:I17,MATCH(G17,G13:G17,0))</f>
        <v>400</v>
      </c>
      <c r="J2" s="9" t="str">
        <f>INDEX(H13:H17,MATCH(G17,G13:G17,0))</f>
        <v>Electronics</v>
      </c>
      <c r="K2" s="11">
        <f>MATCH(G17,G13:G17,0)</f>
        <v>5</v>
      </c>
      <c r="L2" s="9">
        <f>HLOOKUP(D1,A1:E6,3,FALSE)</f>
        <v>55000</v>
      </c>
      <c r="M2" s="9">
        <f>INDEX(D1:D6,MATCH(A2,A1:A6,0))</f>
        <v>65000</v>
      </c>
      <c r="N2" s="9">
        <f>VLOOKUP(A5,A1:E6,4,FALSE)</f>
        <v>60000</v>
      </c>
      <c r="O2" s="11" t="str">
        <f>INDEX(G13:G17,MATCH(F15,F13:F17,0))</f>
        <v>Mouse</v>
      </c>
    </row>
    <row r="3" spans="1:16" x14ac:dyDescent="0.3">
      <c r="A3">
        <v>102</v>
      </c>
      <c r="B3" t="s">
        <v>43</v>
      </c>
      <c r="C3" t="s">
        <v>13</v>
      </c>
      <c r="D3">
        <v>55000</v>
      </c>
      <c r="E3" s="5">
        <v>43636</v>
      </c>
      <c r="M3">
        <f>IFERROR(INDEX(D1:D6,MATCH(A2,A1:A6,0)),"NOT APPLICABLE")</f>
        <v>65000</v>
      </c>
    </row>
    <row r="4" spans="1:16" x14ac:dyDescent="0.3">
      <c r="A4">
        <v>103</v>
      </c>
      <c r="B4" t="s">
        <v>45</v>
      </c>
      <c r="C4" t="s">
        <v>18</v>
      </c>
      <c r="D4">
        <v>75000</v>
      </c>
      <c r="E4" s="5">
        <v>43169</v>
      </c>
    </row>
    <row r="5" spans="1:16" x14ac:dyDescent="0.3">
      <c r="A5">
        <v>104</v>
      </c>
      <c r="B5" t="s">
        <v>48</v>
      </c>
      <c r="C5" t="s">
        <v>6</v>
      </c>
      <c r="D5">
        <v>60000</v>
      </c>
      <c r="E5" s="5">
        <v>44382</v>
      </c>
    </row>
    <row r="6" spans="1:16" x14ac:dyDescent="0.3">
      <c r="A6">
        <v>105</v>
      </c>
      <c r="B6" t="s">
        <v>50</v>
      </c>
      <c r="C6" t="s">
        <v>51</v>
      </c>
      <c r="D6">
        <v>58000</v>
      </c>
      <c r="E6" s="5">
        <v>44147</v>
      </c>
    </row>
    <row r="9" spans="1:16" x14ac:dyDescent="0.3">
      <c r="F9" s="12"/>
      <c r="G9" s="13"/>
      <c r="H9" s="13"/>
      <c r="I9" s="13"/>
    </row>
    <row r="10" spans="1:16" x14ac:dyDescent="0.3">
      <c r="H10" s="1"/>
    </row>
    <row r="13" spans="1:16" x14ac:dyDescent="0.3">
      <c r="A13" s="7" t="s">
        <v>52</v>
      </c>
      <c r="B13" s="7" t="s">
        <v>32</v>
      </c>
      <c r="C13" s="7" t="s">
        <v>36</v>
      </c>
      <c r="D13" s="7" t="s">
        <v>53</v>
      </c>
      <c r="F13" s="4" t="s">
        <v>36</v>
      </c>
      <c r="G13" s="4" t="s">
        <v>37</v>
      </c>
      <c r="H13" s="4" t="s">
        <v>38</v>
      </c>
      <c r="I13" s="4" t="s">
        <v>39</v>
      </c>
    </row>
    <row r="14" spans="1:16" x14ac:dyDescent="0.3">
      <c r="A14">
        <v>1001</v>
      </c>
      <c r="B14">
        <v>101</v>
      </c>
      <c r="C14">
        <v>201</v>
      </c>
      <c r="D14">
        <v>2</v>
      </c>
      <c r="F14">
        <v>201</v>
      </c>
      <c r="G14" t="s">
        <v>41</v>
      </c>
      <c r="H14" t="s">
        <v>42</v>
      </c>
      <c r="I14">
        <v>1200</v>
      </c>
    </row>
    <row r="15" spans="1:16" x14ac:dyDescent="0.3">
      <c r="A15">
        <v>1002</v>
      </c>
      <c r="B15">
        <v>102</v>
      </c>
      <c r="C15">
        <v>203</v>
      </c>
      <c r="D15">
        <v>1</v>
      </c>
      <c r="F15">
        <v>202</v>
      </c>
      <c r="G15" t="s">
        <v>44</v>
      </c>
      <c r="H15" t="s">
        <v>42</v>
      </c>
      <c r="I15">
        <v>25</v>
      </c>
    </row>
    <row r="16" spans="1:16" x14ac:dyDescent="0.3">
      <c r="A16">
        <v>1003</v>
      </c>
      <c r="B16">
        <v>103</v>
      </c>
      <c r="C16">
        <v>202</v>
      </c>
      <c r="D16">
        <v>5</v>
      </c>
      <c r="F16">
        <v>203</v>
      </c>
      <c r="G16" t="s">
        <v>46</v>
      </c>
      <c r="H16" t="s">
        <v>47</v>
      </c>
      <c r="I16">
        <v>350</v>
      </c>
    </row>
    <row r="17" spans="1:9" x14ac:dyDescent="0.3">
      <c r="A17">
        <v>1004</v>
      </c>
      <c r="B17">
        <v>101</v>
      </c>
      <c r="C17">
        <v>204</v>
      </c>
      <c r="D17">
        <v>1</v>
      </c>
      <c r="F17">
        <v>204</v>
      </c>
      <c r="G17" t="s">
        <v>49</v>
      </c>
      <c r="H17" t="s">
        <v>42</v>
      </c>
      <c r="I17">
        <v>400</v>
      </c>
    </row>
    <row r="18" spans="1:9" x14ac:dyDescent="0.3">
      <c r="A18">
        <v>1005</v>
      </c>
      <c r="B18">
        <v>104</v>
      </c>
      <c r="C18">
        <v>201</v>
      </c>
      <c r="D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Yogeshwari Jaitkar</dc:creator>
  <cp:lastModifiedBy>Yogeshwari Jaitkar</cp:lastModifiedBy>
  <dcterms:created xsi:type="dcterms:W3CDTF">2026-10-28T06:26:02Z</dcterms:created>
  <dcterms:modified xsi:type="dcterms:W3CDTF">2026-10-28T08:35:39Z</dcterms:modified>
</cp:coreProperties>
</file>